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_des_taches" sheetId="1" state="visible" r:id="rId2"/>
    <sheet name="Avancement_projet" sheetId="2" state="visible" r:id="rId3"/>
    <sheet name="Detail" sheetId="3" state="visible" r:id="rId4"/>
    <sheet name="Recap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<sst xmlns="http://schemas.openxmlformats.org/spreadsheetml/2006/main" count="383" uniqueCount="158">
  <si>
    <t xml:space="preserve">Ligne</t>
  </si>
  <si>
    <t xml:space="preserve">Catégorie</t>
  </si>
  <si>
    <t xml:space="preserve">Module</t>
  </si>
  <si>
    <t xml:space="preserve">Nom page</t>
  </si>
  <si>
    <t xml:space="preserve">Description</t>
  </si>
  <si>
    <t xml:space="preserve">Type</t>
  </si>
  <si>
    <t xml:space="preserve">Estimation (min)</t>
  </si>
  <si>
    <t xml:space="preserve">Temps passé</t>
  </si>
  <si>
    <t xml:space="preserve">Reste à faire</t>
  </si>
  <si>
    <t xml:space="preserve">Avancement</t>
  </si>
  <si>
    <t xml:space="preserve">Qui</t>
  </si>
  <si>
    <t xml:space="preserve">Status</t>
  </si>
  <si>
    <t xml:space="preserve">Priorité</t>
  </si>
  <si>
    <t xml:space="preserve">Git</t>
  </si>
  <si>
    <t xml:space="preserve">Setup</t>
  </si>
  <si>
    <t xml:space="preserve">Repository</t>
  </si>
  <si>
    <t xml:space="preserve">Créer le repository Git pour le projet</t>
  </si>
  <si>
    <t xml:space="preserve">Configuration</t>
  </si>
  <si>
    <t xml:space="preserve">Windy</t>
  </si>
  <si>
    <t xml:space="preserve">À faire</t>
  </si>
  <si>
    <t xml:space="preserve">Haute</t>
  </si>
  <si>
    <t xml:space="preserve">GitHub Desktop</t>
  </si>
  <si>
    <t xml:space="preserve">Installer et configurer GitHub Desktop</t>
  </si>
  <si>
    <t xml:space="preserve">.gitignore</t>
  </si>
  <si>
    <t xml:space="preserve">Créer le fichier .gitignore approprié</t>
  </si>
  <si>
    <t xml:space="preserve">Moyenne</t>
  </si>
  <si>
    <t xml:space="preserve">Workflow</t>
  </si>
  <si>
    <t xml:space="preserve">Commits</t>
  </si>
  <si>
    <t xml:space="preserve">Faire des commits réguliers pendant le développement</t>
  </si>
  <si>
    <t xml:space="preserve">Pratique</t>
  </si>
  <si>
    <t xml:space="preserve">Database</t>
  </si>
  <si>
    <t xml:space="preserve">Mysql</t>
  </si>
  <si>
    <t xml:space="preserve">Schema</t>
  </si>
  <si>
    <t xml:space="preserve">Créer le schéma de base de données</t>
  </si>
  <si>
    <t xml:space="preserve">SQL</t>
  </si>
  <si>
    <t xml:space="preserve">Natanaela</t>
  </si>
  <si>
    <t xml:space="preserve">Tables</t>
  </si>
  <si>
    <t xml:space="preserve">Créer les tables (villes, sinistrés, besoins, dons)</t>
  </si>
  <si>
    <t xml:space="preserve">Triggers</t>
  </si>
  <si>
    <t xml:space="preserve">Implémenter les triggers nécessaires</t>
  </si>
  <si>
    <t xml:space="preserve">Functions</t>
  </si>
  <si>
    <t xml:space="preserve">Créer les fonctions PostgreSQL</t>
  </si>
  <si>
    <t xml:space="preserve">Procédures</t>
  </si>
  <si>
    <t xml:space="preserve">Implémenter les procédures stockées</t>
  </si>
  <si>
    <t xml:space="preserve">Données test</t>
  </si>
  <si>
    <t xml:space="preserve">Insérer des données de test</t>
  </si>
  <si>
    <t xml:space="preserve">Backend</t>
  </si>
  <si>
    <t xml:space="preserve">FlightPHP</t>
  </si>
  <si>
    <t xml:space="preserve">Installation</t>
  </si>
  <si>
    <t xml:space="preserve">Installer FlightPHP via Composer</t>
  </si>
  <si>
    <t xml:space="preserve">Structure MVC</t>
  </si>
  <si>
    <t xml:space="preserve">Créer la structure MVC (Models/Views/Controllers)</t>
  </si>
  <si>
    <t xml:space="preserve">Architecture</t>
  </si>
  <si>
    <t xml:space="preserve">Config</t>
  </si>
  <si>
    <t xml:space="preserve">Configurer la connexion à la base de données</t>
  </si>
  <si>
    <t xml:space="preserve">Routes</t>
  </si>
  <si>
    <t xml:space="preserve">Définir les routes de l'application</t>
  </si>
  <si>
    <t xml:space="preserve">Code</t>
  </si>
  <si>
    <t xml:space="preserve">Models</t>
  </si>
  <si>
    <t xml:space="preserve">Ville.php</t>
  </si>
  <si>
    <t xml:space="preserve">Créer le modèle Ville</t>
  </si>
  <si>
    <t xml:space="preserve">Besoin.php</t>
  </si>
  <si>
    <t xml:space="preserve">Créer le modèle Besoin</t>
  </si>
  <si>
    <t xml:space="preserve">Don.php</t>
  </si>
  <si>
    <t xml:space="preserve">Créer le modèle Don</t>
  </si>
  <si>
    <t xml:space="preserve">Sinistre.php</t>
  </si>
  <si>
    <t xml:space="preserve">Créer le modèle Sinistré</t>
  </si>
  <si>
    <t xml:space="preserve">Controllers</t>
  </si>
  <si>
    <t xml:space="preserve">VilleController.php</t>
  </si>
  <si>
    <t xml:space="preserve">Créer le contrôleur des villes</t>
  </si>
  <si>
    <t xml:space="preserve">BesoinController.php</t>
  </si>
  <si>
    <t xml:space="preserve">Créer le contrôleur des besoins</t>
  </si>
  <si>
    <t xml:space="preserve">DonController.php</t>
  </si>
  <si>
    <t xml:space="preserve">Créer le contrôleur des dons</t>
  </si>
  <si>
    <t xml:space="preserve">DispatchController.php</t>
  </si>
  <si>
    <t xml:space="preserve">Créer le contrôleur de dispatch</t>
  </si>
  <si>
    <t xml:space="preserve">Frontend</t>
  </si>
  <si>
    <t xml:space="preserve">Bootstrap</t>
  </si>
  <si>
    <t xml:space="preserve">Intégrer Bootstrap 5</t>
  </si>
  <si>
    <t xml:space="preserve">Layout</t>
  </si>
  <si>
    <t xml:space="preserve">Template</t>
  </si>
  <si>
    <t xml:space="preserve">Créer le template de base</t>
  </si>
  <si>
    <t xml:space="preserve">HTML/CSS</t>
  </si>
  <si>
    <t xml:space="preserve">Navigation</t>
  </si>
  <si>
    <t xml:space="preserve">Créer la barre de navigation</t>
  </si>
  <si>
    <t xml:space="preserve">Pages</t>
  </si>
  <si>
    <t xml:space="preserve">Dashboard</t>
  </si>
  <si>
    <t xml:space="preserve">Page tableau de bord (liste villes + besoins + dons)</t>
  </si>
  <si>
    <t xml:space="preserve">HTML/Bootstrap</t>
  </si>
  <si>
    <t xml:space="preserve">Saisie Besoins</t>
  </si>
  <si>
    <t xml:space="preserve">Formulaire de saisie des besoins</t>
  </si>
  <si>
    <t xml:space="preserve">Saisie Dons</t>
  </si>
  <si>
    <t xml:space="preserve">Formulaire de saisie des dons</t>
  </si>
  <si>
    <t xml:space="preserve">Simulation Dispatch</t>
  </si>
  <si>
    <t xml:space="preserve">Interface de simulation de dispatch</t>
  </si>
  <si>
    <t xml:space="preserve">Résultats</t>
  </si>
  <si>
    <t xml:space="preserve">Page d'affichage des résultats dispatch</t>
  </si>
  <si>
    <t xml:space="preserve">Fonctionnalités</t>
  </si>
  <si>
    <t xml:space="preserve">Core</t>
  </si>
  <si>
    <t xml:space="preserve">Algorithme Dispatch</t>
  </si>
  <si>
    <t xml:space="preserve">Implémenter l'algorithme de dispatch par date</t>
  </si>
  <si>
    <t xml:space="preserve">Calcul Prix</t>
  </si>
  <si>
    <t xml:space="preserve">Gérer les calculs de prix unitaires</t>
  </si>
  <si>
    <t xml:space="preserve">Attribution</t>
  </si>
  <si>
    <t xml:space="preserve">Système d'attribution dons aux villes</t>
  </si>
  <si>
    <t xml:space="preserve">Affichage</t>
  </si>
  <si>
    <t xml:space="preserve">Tableaux données</t>
  </si>
  <si>
    <t xml:space="preserve">Afficher les données dans des tableaux Bootstrap</t>
  </si>
  <si>
    <t xml:space="preserve">Validation</t>
  </si>
  <si>
    <t xml:space="preserve">Formulaires</t>
  </si>
  <si>
    <t xml:space="preserve">Validation des formulaires côté client et serveur</t>
  </si>
  <si>
    <t xml:space="preserve">Tests</t>
  </si>
  <si>
    <t xml:space="preserve">Fonctionnels</t>
  </si>
  <si>
    <t xml:space="preserve">Tests saisie</t>
  </si>
  <si>
    <t xml:space="preserve">Tester la saisie des besoins et dons</t>
  </si>
  <si>
    <t xml:space="preserve">Test</t>
  </si>
  <si>
    <t xml:space="preserve">Tests dispatch</t>
  </si>
  <si>
    <t xml:space="preserve">Tester l'algorithme de dispatch</t>
  </si>
  <si>
    <t xml:space="preserve">RAKOTO</t>
  </si>
  <si>
    <t xml:space="preserve">Tests affichage</t>
  </si>
  <si>
    <t xml:space="preserve">Tester l'affichage des résultats</t>
  </si>
  <si>
    <t xml:space="preserve">RASOA</t>
  </si>
  <si>
    <t xml:space="preserve">Intégration</t>
  </si>
  <si>
    <t xml:space="preserve">Tests complets</t>
  </si>
  <si>
    <t xml:space="preserve">Tests end-to-end de l'application</t>
  </si>
  <si>
    <t xml:space="preserve">Documentation</t>
  </si>
  <si>
    <t xml:space="preserve">README</t>
  </si>
  <si>
    <t xml:space="preserve">README.md</t>
  </si>
  <si>
    <t xml:space="preserve">Rédiger le README du projet</t>
  </si>
  <si>
    <t xml:space="preserve">Commentaires</t>
  </si>
  <si>
    <t xml:space="preserve">Commenter le code important</t>
  </si>
  <si>
    <t xml:space="preserve">Basse</t>
  </si>
  <si>
    <t xml:space="preserve">Base</t>
  </si>
  <si>
    <t xml:space="preserve">Schéma BD</t>
  </si>
  <si>
    <t xml:space="preserve">Documenter le schéma de base de données</t>
  </si>
  <si>
    <t xml:space="preserve">Finalisation</t>
  </si>
  <si>
    <t xml:space="preserve">Design</t>
  </si>
  <si>
    <t xml:space="preserve">CSS Custom</t>
  </si>
  <si>
    <t xml:space="preserve">Ajuster le design avec CSS personnalisé</t>
  </si>
  <si>
    <t xml:space="preserve">CSS</t>
  </si>
  <si>
    <t xml:space="preserve">Review</t>
  </si>
  <si>
    <t xml:space="preserve">Code Review</t>
  </si>
  <si>
    <t xml:space="preserve">Revoir et nettoyer le code</t>
  </si>
  <si>
    <t xml:space="preserve">Révision</t>
  </si>
  <si>
    <t xml:space="preserve">Deployment</t>
  </si>
  <si>
    <t xml:space="preserve">Préparation</t>
  </si>
  <si>
    <t xml:space="preserve">Préparer pour la présentation</t>
  </si>
  <si>
    <t xml:space="preserve">Estimation total</t>
  </si>
  <si>
    <t xml:space="preserve">Total heures</t>
  </si>
  <si>
    <t xml:space="preserve">Dépassement</t>
  </si>
  <si>
    <t xml:space="preserve">Total</t>
  </si>
  <si>
    <t xml:space="preserve">16/02</t>
  </si>
  <si>
    <t xml:space="preserve">17/02</t>
  </si>
  <si>
    <t xml:space="preserve">Pourcentage</t>
  </si>
  <si>
    <t xml:space="preserve">Somme de Estimation</t>
  </si>
  <si>
    <t xml:space="preserve">Kenny</t>
  </si>
  <si>
    <t xml:space="preserve">Maeva</t>
  </si>
  <si>
    <t xml:space="preserve">Ny aina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</si>
</sst>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\ %"/>
    <numFmt numFmtId="166" formatCode="0"/>
    <numFmt numFmtId="167" formatCode="0.00\ %"/>
    <numFmt numFmtId="168" formatCode="0.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C7CE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F6B6B"/>
        <bgColor rgb="FFFF6600"/>
      </patternFill>
    </fill>
    <fill>
      <patternFill patternType="solid">
        <fgColor rgb="FFFFD93D"/>
        <bgColor rgb="FFFFFF00"/>
      </patternFill>
    </fill>
    <fill>
      <patternFill patternType="solid">
        <fgColor rgb="FFFCE4D6"/>
        <bgColor rgb="FFE2EFDA"/>
      </patternFill>
    </fill>
    <fill>
      <patternFill patternType="solid">
        <fgColor rgb="FF95E1D3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5E1D3"/>
      <rgbColor rgb="FFFF99CC"/>
      <rgbColor rgb="FFCC99FF"/>
      <rgbColor rgb="FFFFC7CE"/>
      <rgbColor rgb="FF3366FF"/>
      <rgbColor rgb="FF33CCCC"/>
      <rgbColor rgb="FF99CC00"/>
      <rgbColor rgb="FFFFD93D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9" activePane="bottomLeft" state="frozen"/>
      <selection pane="topLeft" activeCell="A1" activeCellId="0" sqref="A1"/>
      <selection pane="bottomLeft" activeCell="G47" activeCellId="0" sqref="G47"/>
    </sheetView>
  </sheetViews>
  <sheetFormatPr defaultColWidth="8.63671875" defaultRowHeight="14.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.77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35"/>
    <col collapsed="false" customWidth="true" hidden="false" outlineLevel="0" max="6" min="6" style="0" width="18"/>
    <col collapsed="false" customWidth="true" hidden="false" outlineLevel="0" max="9" min="7" style="0" width="15"/>
    <col collapsed="false" customWidth="true" hidden="false" outlineLevel="0" max="13" min="10" style="0" width="12"/>
  </cols>
  <sheetData>
    <row r="1" customFormat="false" ht="14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.5" hidden="false" customHeight="false" outlineLevel="0" collapsed="false">
      <c r="A2" s="2" t="n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 t="n">
        <v>15</v>
      </c>
      <c r="H2" s="4" t="n">
        <v>0</v>
      </c>
      <c r="I2" s="4" t="n">
        <v>15</v>
      </c>
      <c r="J2" s="5" t="n">
        <f aca="false">IF(G2&gt;0,H2/G2,0)</f>
        <v>0</v>
      </c>
      <c r="K2" s="6" t="s">
        <v>18</v>
      </c>
      <c r="L2" s="2" t="s">
        <v>19</v>
      </c>
      <c r="M2" s="7" t="s">
        <v>20</v>
      </c>
    </row>
    <row r="3" customFormat="false" ht="14.5" hidden="false" customHeight="false" outlineLevel="0" collapsed="false">
      <c r="A3" s="2" t="n">
        <v>2</v>
      </c>
      <c r="B3" s="3" t="s">
        <v>13</v>
      </c>
      <c r="C3" s="3" t="s">
        <v>14</v>
      </c>
      <c r="D3" s="3" t="s">
        <v>21</v>
      </c>
      <c r="E3" s="3" t="s">
        <v>22</v>
      </c>
      <c r="F3" s="3" t="s">
        <v>17</v>
      </c>
      <c r="G3" s="4" t="n">
        <v>20</v>
      </c>
      <c r="H3" s="4" t="n">
        <v>0</v>
      </c>
      <c r="I3" s="4" t="n">
        <v>20</v>
      </c>
      <c r="J3" s="5" t="n">
        <f aca="false">IF(G3&gt;0,H3/G3,0)</f>
        <v>0</v>
      </c>
      <c r="K3" s="6" t="s">
        <v>18</v>
      </c>
      <c r="L3" s="2" t="s">
        <v>19</v>
      </c>
      <c r="M3" s="7" t="s">
        <v>20</v>
      </c>
    </row>
    <row r="4" customFormat="false" ht="14.5" hidden="false" customHeight="false" outlineLevel="0" collapsed="false">
      <c r="A4" s="2" t="n">
        <v>3</v>
      </c>
      <c r="B4" s="3" t="s">
        <v>13</v>
      </c>
      <c r="C4" s="3" t="s">
        <v>14</v>
      </c>
      <c r="D4" s="3" t="s">
        <v>23</v>
      </c>
      <c r="E4" s="3" t="s">
        <v>24</v>
      </c>
      <c r="F4" s="3" t="s">
        <v>17</v>
      </c>
      <c r="G4" s="4" t="n">
        <v>10</v>
      </c>
      <c r="H4" s="4" t="n">
        <v>0</v>
      </c>
      <c r="I4" s="4" t="n">
        <v>10</v>
      </c>
      <c r="J4" s="5" t="n">
        <f aca="false">IF(G4&gt;0,H4/G4,0)</f>
        <v>0</v>
      </c>
      <c r="K4" s="6" t="s">
        <v>18</v>
      </c>
      <c r="L4" s="2" t="s">
        <v>19</v>
      </c>
      <c r="M4" s="8" t="s">
        <v>25</v>
      </c>
    </row>
    <row r="5" customFormat="false" ht="14.5" hidden="false" customHeight="false" outlineLevel="0" collapsed="false">
      <c r="A5" s="2" t="n">
        <v>4</v>
      </c>
      <c r="B5" s="3" t="s">
        <v>13</v>
      </c>
      <c r="C5" s="3" t="s">
        <v>26</v>
      </c>
      <c r="D5" s="3" t="s">
        <v>27</v>
      </c>
      <c r="E5" s="3" t="s">
        <v>28</v>
      </c>
      <c r="F5" s="3" t="s">
        <v>29</v>
      </c>
      <c r="G5" s="4" t="n">
        <v>30</v>
      </c>
      <c r="H5" s="4" t="n">
        <v>0</v>
      </c>
      <c r="I5" s="4" t="n">
        <v>30</v>
      </c>
      <c r="J5" s="5" t="n">
        <f aca="false">IF(G5&gt;0,H5/G5,0)</f>
        <v>0</v>
      </c>
      <c r="K5" s="6" t="s">
        <v>18</v>
      </c>
      <c r="L5" s="2" t="s">
        <v>19</v>
      </c>
      <c r="M5" s="7" t="s">
        <v>20</v>
      </c>
    </row>
    <row r="6" customFormat="false" ht="13.8" hidden="false" customHeight="false" outlineLevel="0" collapsed="false">
      <c r="A6" s="2" t="n">
        <v>5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4" t="n">
        <v>45</v>
      </c>
      <c r="H6" s="4" t="n">
        <v>0</v>
      </c>
      <c r="I6" s="4" t="n">
        <v>45</v>
      </c>
      <c r="J6" s="5" t="n">
        <f aca="false">IF(G6&gt;0,H6/G6,0)</f>
        <v>0</v>
      </c>
      <c r="K6" s="9" t="s">
        <v>35</v>
      </c>
      <c r="L6" s="2" t="s">
        <v>19</v>
      </c>
      <c r="M6" s="7" t="s">
        <v>20</v>
      </c>
    </row>
    <row r="7" customFormat="false" ht="13.8" hidden="false" customHeight="false" outlineLevel="0" collapsed="false">
      <c r="A7" s="2" t="n">
        <v>6</v>
      </c>
      <c r="B7" s="3" t="s">
        <v>30</v>
      </c>
      <c r="C7" s="3" t="s">
        <v>31</v>
      </c>
      <c r="D7" s="3" t="s">
        <v>36</v>
      </c>
      <c r="E7" s="3" t="s">
        <v>37</v>
      </c>
      <c r="F7" s="3" t="s">
        <v>34</v>
      </c>
      <c r="G7" s="4" t="n">
        <v>60</v>
      </c>
      <c r="H7" s="4" t="n">
        <v>0</v>
      </c>
      <c r="I7" s="4" t="n">
        <v>60</v>
      </c>
      <c r="J7" s="5" t="n">
        <f aca="false">IF(G7&gt;0,H7/G7,0)</f>
        <v>0</v>
      </c>
      <c r="K7" s="9" t="s">
        <v>35</v>
      </c>
      <c r="L7" s="2" t="s">
        <v>19</v>
      </c>
      <c r="M7" s="7" t="s">
        <v>20</v>
      </c>
    </row>
    <row r="8" customFormat="false" ht="13.8" hidden="false" customHeight="false" outlineLevel="0" collapsed="false">
      <c r="A8" s="2" t="n">
        <v>7</v>
      </c>
      <c r="B8" s="3" t="s">
        <v>30</v>
      </c>
      <c r="C8" s="3" t="s">
        <v>31</v>
      </c>
      <c r="D8" s="3" t="s">
        <v>38</v>
      </c>
      <c r="E8" s="3" t="s">
        <v>39</v>
      </c>
      <c r="F8" s="3" t="s">
        <v>34</v>
      </c>
      <c r="G8" s="4" t="n">
        <v>40</v>
      </c>
      <c r="H8" s="4" t="n">
        <v>0</v>
      </c>
      <c r="I8" s="4" t="n">
        <v>40</v>
      </c>
      <c r="J8" s="5" t="n">
        <f aca="false">IF(G8&gt;0,H8/G8,0)</f>
        <v>0</v>
      </c>
      <c r="K8" s="9" t="s">
        <v>35</v>
      </c>
      <c r="L8" s="2" t="s">
        <v>19</v>
      </c>
      <c r="M8" s="8" t="s">
        <v>25</v>
      </c>
    </row>
    <row r="9" customFormat="false" ht="13.8" hidden="false" customHeight="false" outlineLevel="0" collapsed="false">
      <c r="A9" s="2" t="n">
        <v>8</v>
      </c>
      <c r="B9" s="3" t="s">
        <v>30</v>
      </c>
      <c r="C9" s="3" t="s">
        <v>31</v>
      </c>
      <c r="D9" s="3" t="s">
        <v>40</v>
      </c>
      <c r="E9" s="3" t="s">
        <v>41</v>
      </c>
      <c r="F9" s="3" t="s">
        <v>34</v>
      </c>
      <c r="G9" s="4" t="n">
        <v>50</v>
      </c>
      <c r="H9" s="4" t="n">
        <v>0</v>
      </c>
      <c r="I9" s="4" t="n">
        <v>50</v>
      </c>
      <c r="J9" s="5" t="n">
        <f aca="false">IF(G9&gt;0,H9/G9,0)</f>
        <v>0</v>
      </c>
      <c r="K9" s="9" t="s">
        <v>35</v>
      </c>
      <c r="L9" s="2" t="s">
        <v>19</v>
      </c>
      <c r="M9" s="8" t="s">
        <v>25</v>
      </c>
    </row>
    <row r="10" customFormat="false" ht="13.8" hidden="false" customHeight="false" outlineLevel="0" collapsed="false">
      <c r="A10" s="2" t="n">
        <v>9</v>
      </c>
      <c r="B10" s="3" t="s">
        <v>30</v>
      </c>
      <c r="C10" s="3" t="s">
        <v>31</v>
      </c>
      <c r="D10" s="3" t="s">
        <v>42</v>
      </c>
      <c r="E10" s="3" t="s">
        <v>43</v>
      </c>
      <c r="F10" s="3" t="s">
        <v>34</v>
      </c>
      <c r="G10" s="4" t="n">
        <v>50</v>
      </c>
      <c r="H10" s="4" t="n">
        <v>0</v>
      </c>
      <c r="I10" s="4" t="n">
        <v>50</v>
      </c>
      <c r="J10" s="5" t="n">
        <f aca="false">IF(G10&gt;0,H10/G10,0)</f>
        <v>0</v>
      </c>
      <c r="K10" s="9" t="s">
        <v>35</v>
      </c>
      <c r="L10" s="2" t="s">
        <v>19</v>
      </c>
      <c r="M10" s="8" t="s">
        <v>25</v>
      </c>
    </row>
    <row r="11" customFormat="false" ht="13.8" hidden="false" customHeight="false" outlineLevel="0" collapsed="false">
      <c r="A11" s="2" t="n">
        <v>10</v>
      </c>
      <c r="B11" s="3" t="s">
        <v>30</v>
      </c>
      <c r="C11" s="3" t="s">
        <v>31</v>
      </c>
      <c r="D11" s="3" t="s">
        <v>44</v>
      </c>
      <c r="E11" s="3" t="s">
        <v>45</v>
      </c>
      <c r="F11" s="3" t="s">
        <v>34</v>
      </c>
      <c r="G11" s="4" t="n">
        <v>30</v>
      </c>
      <c r="H11" s="4" t="n">
        <v>0</v>
      </c>
      <c r="I11" s="4" t="n">
        <v>30</v>
      </c>
      <c r="J11" s="5" t="n">
        <f aca="false">IF(G11&gt;0,H11/G11,0)</f>
        <v>0</v>
      </c>
      <c r="K11" s="9" t="s">
        <v>35</v>
      </c>
      <c r="L11" s="2" t="s">
        <v>19</v>
      </c>
      <c r="M11" s="8" t="s">
        <v>25</v>
      </c>
    </row>
    <row r="12" customFormat="false" ht="13.8" hidden="false" customHeight="false" outlineLevel="0" collapsed="false">
      <c r="A12" s="2" t="n">
        <v>11</v>
      </c>
      <c r="B12" s="3" t="s">
        <v>46</v>
      </c>
      <c r="C12" s="3" t="s">
        <v>47</v>
      </c>
      <c r="D12" s="3" t="s">
        <v>48</v>
      </c>
      <c r="E12" s="3" t="s">
        <v>49</v>
      </c>
      <c r="F12" s="3" t="s">
        <v>14</v>
      </c>
      <c r="G12" s="4" t="n">
        <v>15</v>
      </c>
      <c r="H12" s="4" t="n">
        <v>0</v>
      </c>
      <c r="I12" s="4" t="n">
        <v>15</v>
      </c>
      <c r="J12" s="5" t="n">
        <f aca="false">IF(G12&gt;0,H12/G12,0)</f>
        <v>0</v>
      </c>
      <c r="K12" s="6" t="s">
        <v>18</v>
      </c>
      <c r="L12" s="2" t="s">
        <v>19</v>
      </c>
      <c r="M12" s="7" t="s">
        <v>20</v>
      </c>
    </row>
    <row r="13" customFormat="false" ht="13.8" hidden="false" customHeight="false" outlineLevel="0" collapsed="false">
      <c r="A13" s="2" t="n">
        <v>12</v>
      </c>
      <c r="B13" s="3" t="s">
        <v>46</v>
      </c>
      <c r="C13" s="3" t="s">
        <v>47</v>
      </c>
      <c r="D13" s="3" t="s">
        <v>50</v>
      </c>
      <c r="E13" s="3" t="s">
        <v>51</v>
      </c>
      <c r="F13" s="3" t="s">
        <v>52</v>
      </c>
      <c r="G13" s="4" t="n">
        <v>30</v>
      </c>
      <c r="H13" s="4" t="n">
        <v>0</v>
      </c>
      <c r="I13" s="4" t="n">
        <v>30</v>
      </c>
      <c r="J13" s="5" t="n">
        <f aca="false">IF(G13&gt;0,H13/G13,0)</f>
        <v>0</v>
      </c>
      <c r="K13" s="6" t="s">
        <v>18</v>
      </c>
      <c r="L13" s="2" t="s">
        <v>19</v>
      </c>
      <c r="M13" s="7" t="s">
        <v>20</v>
      </c>
    </row>
    <row r="14" customFormat="false" ht="13.8" hidden="false" customHeight="false" outlineLevel="0" collapsed="false">
      <c r="A14" s="2" t="n">
        <v>13</v>
      </c>
      <c r="B14" s="3" t="s">
        <v>46</v>
      </c>
      <c r="C14" s="3" t="s">
        <v>47</v>
      </c>
      <c r="D14" s="3" t="s">
        <v>53</v>
      </c>
      <c r="E14" s="3" t="s">
        <v>54</v>
      </c>
      <c r="F14" s="3" t="s">
        <v>17</v>
      </c>
      <c r="G14" s="4" t="n">
        <v>20</v>
      </c>
      <c r="H14" s="4" t="n">
        <v>0</v>
      </c>
      <c r="I14" s="4" t="n">
        <v>20</v>
      </c>
      <c r="J14" s="5" t="n">
        <f aca="false">IF(G14&gt;0,H14/G14,0)</f>
        <v>0</v>
      </c>
      <c r="K14" s="6" t="s">
        <v>18</v>
      </c>
      <c r="L14" s="2" t="s">
        <v>19</v>
      </c>
      <c r="M14" s="7" t="s">
        <v>20</v>
      </c>
    </row>
    <row r="15" customFormat="false" ht="13.8" hidden="false" customHeight="false" outlineLevel="0" collapsed="false">
      <c r="A15" s="2" t="n">
        <v>14</v>
      </c>
      <c r="B15" s="3" t="s">
        <v>46</v>
      </c>
      <c r="C15" s="3" t="s">
        <v>47</v>
      </c>
      <c r="D15" s="3" t="s">
        <v>55</v>
      </c>
      <c r="E15" s="3" t="s">
        <v>56</v>
      </c>
      <c r="F15" s="3" t="s">
        <v>57</v>
      </c>
      <c r="G15" s="4" t="n">
        <v>40</v>
      </c>
      <c r="H15" s="4" t="n">
        <v>0</v>
      </c>
      <c r="I15" s="4" t="n">
        <v>40</v>
      </c>
      <c r="J15" s="5" t="n">
        <f aca="false">IF(G15&gt;0,H15/G15,0)</f>
        <v>0</v>
      </c>
      <c r="K15" s="6" t="s">
        <v>18</v>
      </c>
      <c r="L15" s="2" t="s">
        <v>19</v>
      </c>
      <c r="M15" s="7" t="s">
        <v>20</v>
      </c>
    </row>
    <row r="16" customFormat="false" ht="13.8" hidden="false" customHeight="false" outlineLevel="0" collapsed="false">
      <c r="A16" s="2" t="n">
        <v>15</v>
      </c>
      <c r="B16" s="3" t="s">
        <v>46</v>
      </c>
      <c r="C16" s="3" t="s">
        <v>58</v>
      </c>
      <c r="D16" s="3" t="s">
        <v>59</v>
      </c>
      <c r="E16" s="3" t="s">
        <v>60</v>
      </c>
      <c r="F16" s="3" t="s">
        <v>57</v>
      </c>
      <c r="G16" s="4" t="n">
        <v>25</v>
      </c>
      <c r="H16" s="4" t="n">
        <v>0</v>
      </c>
      <c r="I16" s="4" t="n">
        <v>25</v>
      </c>
      <c r="J16" s="5" t="n">
        <f aca="false">IF(G16&gt;0,H16/G16,0)</f>
        <v>0</v>
      </c>
      <c r="K16" s="6" t="s">
        <v>18</v>
      </c>
      <c r="L16" s="2" t="s">
        <v>19</v>
      </c>
      <c r="M16" s="7" t="s">
        <v>20</v>
      </c>
    </row>
    <row r="17" customFormat="false" ht="13.8" hidden="false" customHeight="false" outlineLevel="0" collapsed="false">
      <c r="A17" s="2" t="n">
        <v>16</v>
      </c>
      <c r="B17" s="3" t="s">
        <v>46</v>
      </c>
      <c r="C17" s="3" t="s">
        <v>58</v>
      </c>
      <c r="D17" s="3" t="s">
        <v>61</v>
      </c>
      <c r="E17" s="3" t="s">
        <v>62</v>
      </c>
      <c r="F17" s="3" t="s">
        <v>57</v>
      </c>
      <c r="G17" s="4" t="n">
        <v>30</v>
      </c>
      <c r="H17" s="4" t="n">
        <v>0</v>
      </c>
      <c r="I17" s="4" t="n">
        <v>30</v>
      </c>
      <c r="J17" s="5" t="n">
        <f aca="false">IF(G17&gt;0,H17/G17,0)</f>
        <v>0</v>
      </c>
      <c r="K17" s="6" t="s">
        <v>18</v>
      </c>
      <c r="L17" s="2" t="s">
        <v>19</v>
      </c>
      <c r="M17" s="7" t="s">
        <v>20</v>
      </c>
    </row>
    <row r="18" customFormat="false" ht="13.8" hidden="false" customHeight="false" outlineLevel="0" collapsed="false">
      <c r="A18" s="2" t="n">
        <v>17</v>
      </c>
      <c r="B18" s="3" t="s">
        <v>46</v>
      </c>
      <c r="C18" s="3" t="s">
        <v>58</v>
      </c>
      <c r="D18" s="3" t="s">
        <v>63</v>
      </c>
      <c r="E18" s="3" t="s">
        <v>64</v>
      </c>
      <c r="F18" s="3" t="s">
        <v>57</v>
      </c>
      <c r="G18" s="4" t="n">
        <v>30</v>
      </c>
      <c r="H18" s="4" t="n">
        <v>0</v>
      </c>
      <c r="I18" s="4" t="n">
        <v>30</v>
      </c>
      <c r="J18" s="5" t="n">
        <f aca="false">IF(G18&gt;0,H18/G18,0)</f>
        <v>0</v>
      </c>
      <c r="K18" s="6" t="s">
        <v>18</v>
      </c>
      <c r="L18" s="2" t="s">
        <v>19</v>
      </c>
      <c r="M18" s="7" t="s">
        <v>20</v>
      </c>
    </row>
    <row r="19" customFormat="false" ht="13.8" hidden="false" customHeight="false" outlineLevel="0" collapsed="false">
      <c r="A19" s="2" t="n">
        <v>18</v>
      </c>
      <c r="B19" s="3" t="s">
        <v>46</v>
      </c>
      <c r="C19" s="3" t="s">
        <v>58</v>
      </c>
      <c r="D19" s="3" t="s">
        <v>65</v>
      </c>
      <c r="E19" s="3" t="s">
        <v>66</v>
      </c>
      <c r="F19" s="3" t="s">
        <v>57</v>
      </c>
      <c r="G19" s="4" t="n">
        <v>25</v>
      </c>
      <c r="H19" s="4" t="n">
        <v>0</v>
      </c>
      <c r="I19" s="4" t="n">
        <v>25</v>
      </c>
      <c r="J19" s="5" t="n">
        <f aca="false">IF(G19&gt;0,H19/G19,0)</f>
        <v>0</v>
      </c>
      <c r="K19" s="6" t="s">
        <v>18</v>
      </c>
      <c r="L19" s="2" t="s">
        <v>19</v>
      </c>
      <c r="M19" s="7" t="s">
        <v>20</v>
      </c>
    </row>
    <row r="20" customFormat="false" ht="13.8" hidden="false" customHeight="false" outlineLevel="0" collapsed="false">
      <c r="A20" s="2" t="n">
        <v>19</v>
      </c>
      <c r="B20" s="3" t="s">
        <v>46</v>
      </c>
      <c r="C20" s="3" t="s">
        <v>67</v>
      </c>
      <c r="D20" s="3" t="s">
        <v>68</v>
      </c>
      <c r="E20" s="3" t="s">
        <v>69</v>
      </c>
      <c r="F20" s="3" t="s">
        <v>57</v>
      </c>
      <c r="G20" s="4" t="n">
        <v>45</v>
      </c>
      <c r="H20" s="4" t="n">
        <v>0</v>
      </c>
      <c r="I20" s="4" t="n">
        <v>45</v>
      </c>
      <c r="J20" s="5" t="n">
        <f aca="false">IF(G20&gt;0,H20/G20,0)</f>
        <v>0</v>
      </c>
      <c r="K20" s="6" t="s">
        <v>18</v>
      </c>
      <c r="L20" s="2" t="s">
        <v>19</v>
      </c>
      <c r="M20" s="7" t="s">
        <v>20</v>
      </c>
    </row>
    <row r="21" customFormat="false" ht="13.8" hidden="false" customHeight="false" outlineLevel="0" collapsed="false">
      <c r="A21" s="2" t="n">
        <v>20</v>
      </c>
      <c r="B21" s="3" t="s">
        <v>46</v>
      </c>
      <c r="C21" s="3" t="s">
        <v>67</v>
      </c>
      <c r="D21" s="3" t="s">
        <v>70</v>
      </c>
      <c r="E21" s="3" t="s">
        <v>71</v>
      </c>
      <c r="F21" s="3" t="s">
        <v>57</v>
      </c>
      <c r="G21" s="4" t="n">
        <v>50</v>
      </c>
      <c r="H21" s="4" t="n">
        <v>0</v>
      </c>
      <c r="I21" s="4" t="n">
        <v>50</v>
      </c>
      <c r="J21" s="5" t="n">
        <f aca="false">IF(G21&gt;0,H21/G21,0)</f>
        <v>0</v>
      </c>
      <c r="K21" s="6" t="s">
        <v>18</v>
      </c>
      <c r="L21" s="2" t="s">
        <v>19</v>
      </c>
      <c r="M21" s="7" t="s">
        <v>20</v>
      </c>
    </row>
    <row r="22" customFormat="false" ht="13.8" hidden="false" customHeight="false" outlineLevel="0" collapsed="false">
      <c r="A22" s="2" t="n">
        <v>21</v>
      </c>
      <c r="B22" s="3" t="s">
        <v>46</v>
      </c>
      <c r="C22" s="3" t="s">
        <v>67</v>
      </c>
      <c r="D22" s="3" t="s">
        <v>72</v>
      </c>
      <c r="E22" s="3" t="s">
        <v>73</v>
      </c>
      <c r="F22" s="3" t="s">
        <v>57</v>
      </c>
      <c r="G22" s="4" t="n">
        <v>50</v>
      </c>
      <c r="H22" s="4" t="n">
        <v>0</v>
      </c>
      <c r="I22" s="4" t="n">
        <v>50</v>
      </c>
      <c r="J22" s="5" t="n">
        <f aca="false">IF(G22&gt;0,H22/G22,0)</f>
        <v>0</v>
      </c>
      <c r="K22" s="6" t="s">
        <v>18</v>
      </c>
      <c r="L22" s="2" t="s">
        <v>19</v>
      </c>
      <c r="M22" s="7" t="s">
        <v>20</v>
      </c>
    </row>
    <row r="23" customFormat="false" ht="13.8" hidden="false" customHeight="false" outlineLevel="0" collapsed="false">
      <c r="A23" s="2" t="n">
        <v>22</v>
      </c>
      <c r="B23" s="3" t="s">
        <v>46</v>
      </c>
      <c r="C23" s="3" t="s">
        <v>67</v>
      </c>
      <c r="D23" s="3" t="s">
        <v>74</v>
      </c>
      <c r="E23" s="3" t="s">
        <v>75</v>
      </c>
      <c r="F23" s="3" t="s">
        <v>57</v>
      </c>
      <c r="G23" s="4" t="n">
        <v>60</v>
      </c>
      <c r="H23" s="4" t="n">
        <v>0</v>
      </c>
      <c r="I23" s="4" t="n">
        <v>60</v>
      </c>
      <c r="J23" s="5" t="n">
        <f aca="false">IF(G23&gt;0,H23/G23,0)</f>
        <v>0</v>
      </c>
      <c r="K23" s="6" t="s">
        <v>18</v>
      </c>
      <c r="L23" s="2" t="s">
        <v>19</v>
      </c>
      <c r="M23" s="7" t="s">
        <v>20</v>
      </c>
    </row>
    <row r="24" customFormat="false" ht="13.8" hidden="false" customHeight="false" outlineLevel="0" collapsed="false">
      <c r="A24" s="2" t="n">
        <v>23</v>
      </c>
      <c r="B24" s="3" t="s">
        <v>76</v>
      </c>
      <c r="C24" s="3" t="s">
        <v>14</v>
      </c>
      <c r="D24" s="3" t="s">
        <v>77</v>
      </c>
      <c r="E24" s="3" t="s">
        <v>78</v>
      </c>
      <c r="F24" s="3" t="s">
        <v>17</v>
      </c>
      <c r="G24" s="4" t="n">
        <v>15</v>
      </c>
      <c r="H24" s="4" t="n">
        <v>0</v>
      </c>
      <c r="I24" s="4" t="n">
        <v>15</v>
      </c>
      <c r="J24" s="5" t="n">
        <f aca="false">IF(G24&gt;0,H24/G24,0)</f>
        <v>0</v>
      </c>
      <c r="K24" s="9" t="s">
        <v>35</v>
      </c>
      <c r="L24" s="2" t="s">
        <v>19</v>
      </c>
      <c r="M24" s="7" t="s">
        <v>20</v>
      </c>
    </row>
    <row r="25" customFormat="false" ht="13.8" hidden="false" customHeight="false" outlineLevel="0" collapsed="false">
      <c r="A25" s="2" t="n">
        <v>24</v>
      </c>
      <c r="B25" s="3" t="s">
        <v>76</v>
      </c>
      <c r="C25" s="3" t="s">
        <v>79</v>
      </c>
      <c r="D25" s="3" t="s">
        <v>80</v>
      </c>
      <c r="E25" s="3" t="s">
        <v>81</v>
      </c>
      <c r="F25" s="3" t="s">
        <v>82</v>
      </c>
      <c r="G25" s="4" t="n">
        <v>40</v>
      </c>
      <c r="H25" s="4" t="n">
        <v>0</v>
      </c>
      <c r="I25" s="4" t="n">
        <v>40</v>
      </c>
      <c r="J25" s="5" t="n">
        <f aca="false">IF(G25&gt;0,H25/G25,0)</f>
        <v>0</v>
      </c>
      <c r="K25" s="9" t="s">
        <v>35</v>
      </c>
      <c r="L25" s="2" t="s">
        <v>19</v>
      </c>
      <c r="M25" s="7" t="s">
        <v>20</v>
      </c>
    </row>
    <row r="26" customFormat="false" ht="13.8" hidden="false" customHeight="false" outlineLevel="0" collapsed="false">
      <c r="A26" s="2" t="n">
        <v>25</v>
      </c>
      <c r="B26" s="3" t="s">
        <v>76</v>
      </c>
      <c r="C26" s="3" t="s">
        <v>79</v>
      </c>
      <c r="D26" s="3" t="s">
        <v>83</v>
      </c>
      <c r="E26" s="3" t="s">
        <v>84</v>
      </c>
      <c r="F26" s="3" t="s">
        <v>82</v>
      </c>
      <c r="G26" s="4" t="n">
        <v>30</v>
      </c>
      <c r="H26" s="4" t="n">
        <v>0</v>
      </c>
      <c r="I26" s="4" t="n">
        <v>30</v>
      </c>
      <c r="J26" s="5" t="n">
        <f aca="false">IF(G26&gt;0,H26/G26,0)</f>
        <v>0</v>
      </c>
      <c r="K26" s="9" t="s">
        <v>35</v>
      </c>
      <c r="L26" s="2" t="s">
        <v>19</v>
      </c>
      <c r="M26" s="8" t="s">
        <v>25</v>
      </c>
    </row>
    <row r="27" customFormat="false" ht="13.8" hidden="false" customHeight="false" outlineLevel="0" collapsed="false">
      <c r="A27" s="2" t="n">
        <v>26</v>
      </c>
      <c r="B27" s="3" t="s">
        <v>76</v>
      </c>
      <c r="C27" s="3" t="s">
        <v>85</v>
      </c>
      <c r="D27" s="3" t="s">
        <v>86</v>
      </c>
      <c r="E27" s="3" t="s">
        <v>87</v>
      </c>
      <c r="F27" s="3" t="s">
        <v>88</v>
      </c>
      <c r="G27" s="4" t="n">
        <v>90</v>
      </c>
      <c r="H27" s="4" t="n">
        <v>0</v>
      </c>
      <c r="I27" s="4" t="n">
        <v>90</v>
      </c>
      <c r="J27" s="5" t="n">
        <f aca="false">IF(G27&gt;0,H27/G27,0)</f>
        <v>0</v>
      </c>
      <c r="K27" s="9" t="s">
        <v>35</v>
      </c>
      <c r="L27" s="2" t="s">
        <v>19</v>
      </c>
      <c r="M27" s="7" t="s">
        <v>20</v>
      </c>
    </row>
    <row r="28" customFormat="false" ht="13.8" hidden="false" customHeight="false" outlineLevel="0" collapsed="false">
      <c r="A28" s="2" t="n">
        <v>27</v>
      </c>
      <c r="B28" s="3" t="s">
        <v>76</v>
      </c>
      <c r="C28" s="3" t="s">
        <v>85</v>
      </c>
      <c r="D28" s="3" t="s">
        <v>89</v>
      </c>
      <c r="E28" s="3" t="s">
        <v>90</v>
      </c>
      <c r="F28" s="3" t="s">
        <v>88</v>
      </c>
      <c r="G28" s="4" t="n">
        <v>60</v>
      </c>
      <c r="H28" s="4" t="n">
        <v>0</v>
      </c>
      <c r="I28" s="4" t="n">
        <v>60</v>
      </c>
      <c r="J28" s="5" t="n">
        <f aca="false">IF(G28&gt;0,H28/G28,0)</f>
        <v>0</v>
      </c>
      <c r="K28" s="9" t="s">
        <v>35</v>
      </c>
      <c r="L28" s="2" t="s">
        <v>19</v>
      </c>
      <c r="M28" s="7" t="s">
        <v>20</v>
      </c>
    </row>
    <row r="29" customFormat="false" ht="13.8" hidden="false" customHeight="false" outlineLevel="0" collapsed="false">
      <c r="A29" s="2" t="n">
        <v>28</v>
      </c>
      <c r="B29" s="3" t="s">
        <v>76</v>
      </c>
      <c r="C29" s="3" t="s">
        <v>85</v>
      </c>
      <c r="D29" s="3" t="s">
        <v>91</v>
      </c>
      <c r="E29" s="3" t="s">
        <v>92</v>
      </c>
      <c r="F29" s="3" t="s">
        <v>88</v>
      </c>
      <c r="G29" s="4" t="n">
        <v>60</v>
      </c>
      <c r="H29" s="4" t="n">
        <v>0</v>
      </c>
      <c r="I29" s="4" t="n">
        <v>60</v>
      </c>
      <c r="J29" s="5" t="n">
        <f aca="false">IF(G29&gt;0,H29/G29,0)</f>
        <v>0</v>
      </c>
      <c r="K29" s="9" t="s">
        <v>35</v>
      </c>
      <c r="L29" s="2" t="s">
        <v>19</v>
      </c>
      <c r="M29" s="7" t="s">
        <v>20</v>
      </c>
    </row>
    <row r="30" customFormat="false" ht="13.8" hidden="false" customHeight="false" outlineLevel="0" collapsed="false">
      <c r="A30" s="2" t="n">
        <v>29</v>
      </c>
      <c r="B30" s="3" t="s">
        <v>76</v>
      </c>
      <c r="C30" s="3" t="s">
        <v>85</v>
      </c>
      <c r="D30" s="3" t="s">
        <v>93</v>
      </c>
      <c r="E30" s="3" t="s">
        <v>94</v>
      </c>
      <c r="F30" s="3" t="s">
        <v>88</v>
      </c>
      <c r="G30" s="4" t="n">
        <v>70</v>
      </c>
      <c r="H30" s="4" t="n">
        <v>0</v>
      </c>
      <c r="I30" s="4" t="n">
        <v>70</v>
      </c>
      <c r="J30" s="5" t="n">
        <f aca="false">IF(G30&gt;0,H30/G30,0)</f>
        <v>0</v>
      </c>
      <c r="K30" s="9" t="s">
        <v>35</v>
      </c>
      <c r="L30" s="2" t="s">
        <v>19</v>
      </c>
      <c r="M30" s="7" t="s">
        <v>20</v>
      </c>
    </row>
    <row r="31" customFormat="false" ht="13.8" hidden="false" customHeight="false" outlineLevel="0" collapsed="false">
      <c r="A31" s="2" t="n">
        <v>30</v>
      </c>
      <c r="B31" s="3" t="s">
        <v>76</v>
      </c>
      <c r="C31" s="3" t="s">
        <v>85</v>
      </c>
      <c r="D31" s="3" t="s">
        <v>95</v>
      </c>
      <c r="E31" s="3" t="s">
        <v>96</v>
      </c>
      <c r="F31" s="3" t="s">
        <v>88</v>
      </c>
      <c r="G31" s="4" t="n">
        <v>50</v>
      </c>
      <c r="H31" s="4" t="n">
        <v>0</v>
      </c>
      <c r="I31" s="4" t="n">
        <v>50</v>
      </c>
      <c r="J31" s="5" t="n">
        <f aca="false">IF(G31&gt;0,H31/G31,0)</f>
        <v>0</v>
      </c>
      <c r="K31" s="9" t="s">
        <v>35</v>
      </c>
      <c r="L31" s="2" t="s">
        <v>19</v>
      </c>
      <c r="M31" s="8" t="s">
        <v>25</v>
      </c>
    </row>
    <row r="32" customFormat="false" ht="13.8" hidden="false" customHeight="false" outlineLevel="0" collapsed="false">
      <c r="A32" s="2" t="n">
        <v>31</v>
      </c>
      <c r="B32" s="3" t="s">
        <v>97</v>
      </c>
      <c r="C32" s="3" t="s">
        <v>98</v>
      </c>
      <c r="D32" s="3" t="s">
        <v>99</v>
      </c>
      <c r="E32" s="3" t="s">
        <v>100</v>
      </c>
      <c r="F32" s="3" t="s">
        <v>57</v>
      </c>
      <c r="G32" s="4" t="n">
        <v>90</v>
      </c>
      <c r="H32" s="4" t="n">
        <v>0</v>
      </c>
      <c r="I32" s="4" t="n">
        <v>90</v>
      </c>
      <c r="J32" s="5" t="n">
        <f aca="false">IF(G32&gt;0,H32/G32,0)</f>
        <v>0</v>
      </c>
      <c r="K32" s="6" t="n">
        <v>3</v>
      </c>
      <c r="L32" s="2" t="s">
        <v>19</v>
      </c>
      <c r="M32" s="7" t="s">
        <v>20</v>
      </c>
    </row>
    <row r="33" customFormat="false" ht="13.8" hidden="false" customHeight="false" outlineLevel="0" collapsed="false">
      <c r="A33" s="2" t="n">
        <v>32</v>
      </c>
      <c r="B33" s="3" t="s">
        <v>97</v>
      </c>
      <c r="C33" s="3" t="s">
        <v>98</v>
      </c>
      <c r="D33" s="3" t="s">
        <v>101</v>
      </c>
      <c r="E33" s="3" t="s">
        <v>102</v>
      </c>
      <c r="F33" s="3" t="s">
        <v>57</v>
      </c>
      <c r="G33" s="4" t="n">
        <v>30</v>
      </c>
      <c r="H33" s="4" t="n">
        <v>0</v>
      </c>
      <c r="I33" s="4" t="n">
        <v>30</v>
      </c>
      <c r="J33" s="5" t="n">
        <f aca="false">IF(G33&gt;0,H33/G33,0)</f>
        <v>0</v>
      </c>
      <c r="K33" s="6" t="n">
        <v>3</v>
      </c>
      <c r="L33" s="2" t="s">
        <v>19</v>
      </c>
      <c r="M33" s="7" t="s">
        <v>20</v>
      </c>
    </row>
    <row r="34" customFormat="false" ht="13.8" hidden="false" customHeight="false" outlineLevel="0" collapsed="false">
      <c r="A34" s="2" t="n">
        <v>33</v>
      </c>
      <c r="B34" s="3" t="s">
        <v>97</v>
      </c>
      <c r="C34" s="3" t="s">
        <v>98</v>
      </c>
      <c r="D34" s="3" t="s">
        <v>103</v>
      </c>
      <c r="E34" s="3" t="s">
        <v>104</v>
      </c>
      <c r="F34" s="3" t="s">
        <v>57</v>
      </c>
      <c r="G34" s="4" t="n">
        <v>60</v>
      </c>
      <c r="H34" s="4" t="n">
        <v>0</v>
      </c>
      <c r="I34" s="4" t="n">
        <v>60</v>
      </c>
      <c r="J34" s="5" t="n">
        <f aca="false">IF(G34&gt;0,H34/G34,0)</f>
        <v>0</v>
      </c>
      <c r="K34" s="6" t="n">
        <v>3</v>
      </c>
      <c r="L34" s="2" t="s">
        <v>19</v>
      </c>
      <c r="M34" s="7" t="s">
        <v>20</v>
      </c>
    </row>
    <row r="35" customFormat="false" ht="14.5" hidden="false" customHeight="false" outlineLevel="0" collapsed="false">
      <c r="A35" s="2" t="n">
        <v>34</v>
      </c>
      <c r="B35" s="3" t="s">
        <v>97</v>
      </c>
      <c r="C35" s="3" t="s">
        <v>105</v>
      </c>
      <c r="D35" s="3" t="s">
        <v>106</v>
      </c>
      <c r="E35" s="3" t="s">
        <v>107</v>
      </c>
      <c r="F35" s="3" t="s">
        <v>57</v>
      </c>
      <c r="G35" s="4" t="n">
        <v>40</v>
      </c>
      <c r="H35" s="4" t="n">
        <v>0</v>
      </c>
      <c r="I35" s="4" t="n">
        <v>40</v>
      </c>
      <c r="J35" s="5" t="n">
        <f aca="false">IF(G35&gt;0,H35/G35,0)</f>
        <v>0</v>
      </c>
      <c r="K35" s="9" t="n">
        <v>3</v>
      </c>
      <c r="L35" s="2" t="s">
        <v>19</v>
      </c>
      <c r="M35" s="8" t="s">
        <v>25</v>
      </c>
    </row>
    <row r="36" customFormat="false" ht="14.5" hidden="false" customHeight="false" outlineLevel="0" collapsed="false">
      <c r="A36" s="2" t="n">
        <v>35</v>
      </c>
      <c r="B36" s="3" t="s">
        <v>97</v>
      </c>
      <c r="C36" s="3" t="s">
        <v>108</v>
      </c>
      <c r="D36" s="3" t="s">
        <v>109</v>
      </c>
      <c r="E36" s="3" t="s">
        <v>110</v>
      </c>
      <c r="F36" s="3" t="s">
        <v>57</v>
      </c>
      <c r="G36" s="4" t="n">
        <v>45</v>
      </c>
      <c r="H36" s="4" t="n">
        <v>0</v>
      </c>
      <c r="I36" s="4" t="n">
        <v>45</v>
      </c>
      <c r="J36" s="5" t="n">
        <f aca="false">IF(G36&gt;0,H36/G36,0)</f>
        <v>0</v>
      </c>
      <c r="K36" s="6" t="n">
        <v>3</v>
      </c>
      <c r="L36" s="2" t="s">
        <v>19</v>
      </c>
      <c r="M36" s="8" t="s">
        <v>25</v>
      </c>
    </row>
    <row r="37" customFormat="false" ht="14.5" hidden="false" customHeight="false" outlineLevel="0" collapsed="false">
      <c r="A37" s="2" t="n">
        <v>36</v>
      </c>
      <c r="B37" s="3" t="s">
        <v>111</v>
      </c>
      <c r="C37" s="3" t="s">
        <v>112</v>
      </c>
      <c r="D37" s="3" t="s">
        <v>113</v>
      </c>
      <c r="E37" s="3" t="s">
        <v>114</v>
      </c>
      <c r="F37" s="3" t="s">
        <v>115</v>
      </c>
      <c r="G37" s="4" t="n">
        <v>30</v>
      </c>
      <c r="H37" s="4" t="n">
        <v>0</v>
      </c>
      <c r="I37" s="4" t="n">
        <v>30</v>
      </c>
      <c r="J37" s="5" t="n">
        <f aca="false">IF(G37&gt;0,H37/G37,0)</f>
        <v>0</v>
      </c>
      <c r="K37" s="6" t="n">
        <v>3</v>
      </c>
      <c r="L37" s="2" t="s">
        <v>19</v>
      </c>
      <c r="M37" s="8" t="s">
        <v>25</v>
      </c>
    </row>
    <row r="38" customFormat="false" ht="14.5" hidden="false" customHeight="false" outlineLevel="0" collapsed="false">
      <c r="A38" s="2" t="n">
        <v>37</v>
      </c>
      <c r="B38" s="3" t="s">
        <v>111</v>
      </c>
      <c r="C38" s="3" t="s">
        <v>112</v>
      </c>
      <c r="D38" s="3" t="s">
        <v>116</v>
      </c>
      <c r="E38" s="3" t="s">
        <v>117</v>
      </c>
      <c r="F38" s="3" t="s">
        <v>115</v>
      </c>
      <c r="G38" s="4" t="n">
        <v>40</v>
      </c>
      <c r="H38" s="4" t="n">
        <v>0</v>
      </c>
      <c r="I38" s="4" t="n">
        <v>40</v>
      </c>
      <c r="J38" s="5" t="n">
        <f aca="false">IF(G38&gt;0,H38/G38,0)</f>
        <v>0</v>
      </c>
      <c r="K38" s="6" t="s">
        <v>118</v>
      </c>
      <c r="L38" s="2" t="s">
        <v>19</v>
      </c>
      <c r="M38" s="7" t="s">
        <v>20</v>
      </c>
    </row>
    <row r="39" customFormat="false" ht="14.5" hidden="false" customHeight="false" outlineLevel="0" collapsed="false">
      <c r="A39" s="2" t="n">
        <v>38</v>
      </c>
      <c r="B39" s="3" t="s">
        <v>111</v>
      </c>
      <c r="C39" s="3" t="s">
        <v>112</v>
      </c>
      <c r="D39" s="3" t="s">
        <v>119</v>
      </c>
      <c r="E39" s="3" t="s">
        <v>120</v>
      </c>
      <c r="F39" s="3" t="s">
        <v>115</v>
      </c>
      <c r="G39" s="4" t="n">
        <v>25</v>
      </c>
      <c r="H39" s="4" t="n">
        <v>0</v>
      </c>
      <c r="I39" s="4" t="n">
        <v>25</v>
      </c>
      <c r="J39" s="5" t="n">
        <f aca="false">IF(G39&gt;0,H39/G39,0)</f>
        <v>0</v>
      </c>
      <c r="K39" s="9" t="s">
        <v>121</v>
      </c>
      <c r="L39" s="2" t="s">
        <v>19</v>
      </c>
      <c r="M39" s="8" t="s">
        <v>25</v>
      </c>
    </row>
    <row r="40" customFormat="false" ht="14.5" hidden="false" customHeight="false" outlineLevel="0" collapsed="false">
      <c r="A40" s="2" t="n">
        <v>39</v>
      </c>
      <c r="B40" s="3" t="s">
        <v>111</v>
      </c>
      <c r="C40" s="3" t="s">
        <v>122</v>
      </c>
      <c r="D40" s="3" t="s">
        <v>123</v>
      </c>
      <c r="E40" s="3" t="s">
        <v>124</v>
      </c>
      <c r="F40" s="3" t="s">
        <v>115</v>
      </c>
      <c r="G40" s="4" t="n">
        <v>50</v>
      </c>
      <c r="H40" s="4" t="n">
        <v>0</v>
      </c>
      <c r="I40" s="4" t="n">
        <v>50</v>
      </c>
      <c r="J40" s="5" t="n">
        <f aca="false">IF(G40&gt;0,H40/G40,0)</f>
        <v>0</v>
      </c>
      <c r="K40" s="6" t="s">
        <v>118</v>
      </c>
      <c r="L40" s="2" t="s">
        <v>19</v>
      </c>
      <c r="M40" s="7" t="s">
        <v>20</v>
      </c>
    </row>
    <row r="41" customFormat="false" ht="14.5" hidden="false" customHeight="false" outlineLevel="0" collapsed="false">
      <c r="A41" s="2" t="n">
        <v>40</v>
      </c>
      <c r="B41" s="3" t="s">
        <v>125</v>
      </c>
      <c r="C41" s="3" t="s">
        <v>126</v>
      </c>
      <c r="D41" s="3" t="s">
        <v>127</v>
      </c>
      <c r="E41" s="3" t="s">
        <v>128</v>
      </c>
      <c r="F41" s="3" t="s">
        <v>125</v>
      </c>
      <c r="G41" s="4" t="n">
        <v>30</v>
      </c>
      <c r="H41" s="4" t="n">
        <v>0</v>
      </c>
      <c r="I41" s="4" t="n">
        <v>30</v>
      </c>
      <c r="J41" s="5" t="n">
        <f aca="false">IF(G41&gt;0,H41/G41,0)</f>
        <v>0</v>
      </c>
      <c r="K41" s="9" t="s">
        <v>121</v>
      </c>
      <c r="L41" s="2" t="s">
        <v>19</v>
      </c>
      <c r="M41" s="8" t="s">
        <v>25</v>
      </c>
    </row>
    <row r="42" customFormat="false" ht="14.5" hidden="false" customHeight="false" outlineLevel="0" collapsed="false">
      <c r="A42" s="2" t="n">
        <v>41</v>
      </c>
      <c r="B42" s="3" t="s">
        <v>125</v>
      </c>
      <c r="C42" s="3" t="s">
        <v>57</v>
      </c>
      <c r="D42" s="3" t="s">
        <v>129</v>
      </c>
      <c r="E42" s="3" t="s">
        <v>130</v>
      </c>
      <c r="F42" s="3" t="s">
        <v>125</v>
      </c>
      <c r="G42" s="4" t="n">
        <v>45</v>
      </c>
      <c r="H42" s="4" t="n">
        <v>0</v>
      </c>
      <c r="I42" s="4" t="n">
        <v>45</v>
      </c>
      <c r="J42" s="5" t="n">
        <f aca="false">IF(G42&gt;0,H42/G42,0)</f>
        <v>0</v>
      </c>
      <c r="K42" s="6" t="s">
        <v>118</v>
      </c>
      <c r="L42" s="2" t="s">
        <v>19</v>
      </c>
      <c r="M42" s="10" t="s">
        <v>131</v>
      </c>
    </row>
    <row r="43" customFormat="false" ht="14.5" hidden="false" customHeight="false" outlineLevel="0" collapsed="false">
      <c r="A43" s="2" t="n">
        <v>42</v>
      </c>
      <c r="B43" s="3" t="s">
        <v>125</v>
      </c>
      <c r="C43" s="3" t="s">
        <v>132</v>
      </c>
      <c r="D43" s="3" t="s">
        <v>133</v>
      </c>
      <c r="E43" s="3" t="s">
        <v>134</v>
      </c>
      <c r="F43" s="3" t="s">
        <v>125</v>
      </c>
      <c r="G43" s="4" t="n">
        <v>25</v>
      </c>
      <c r="H43" s="4" t="n">
        <v>0</v>
      </c>
      <c r="I43" s="4" t="n">
        <v>25</v>
      </c>
      <c r="J43" s="5" t="n">
        <f aca="false">IF(G43&gt;0,H43/G43,0)</f>
        <v>0</v>
      </c>
      <c r="K43" s="9" t="s">
        <v>121</v>
      </c>
      <c r="L43" s="2" t="s">
        <v>19</v>
      </c>
      <c r="M43" s="8" t="s">
        <v>25</v>
      </c>
    </row>
    <row r="44" customFormat="false" ht="14.5" hidden="false" customHeight="false" outlineLevel="0" collapsed="false">
      <c r="A44" s="2" t="n">
        <v>43</v>
      </c>
      <c r="B44" s="3" t="s">
        <v>135</v>
      </c>
      <c r="C44" s="3" t="s">
        <v>136</v>
      </c>
      <c r="D44" s="3" t="s">
        <v>137</v>
      </c>
      <c r="E44" s="3" t="s">
        <v>138</v>
      </c>
      <c r="F44" s="3" t="s">
        <v>139</v>
      </c>
      <c r="G44" s="4" t="n">
        <v>40</v>
      </c>
      <c r="H44" s="4" t="n">
        <v>0</v>
      </c>
      <c r="I44" s="4" t="n">
        <v>40</v>
      </c>
      <c r="J44" s="5" t="n">
        <f aca="false">IF(G44&gt;0,H44/G44,0)</f>
        <v>0</v>
      </c>
      <c r="K44" s="9" t="n">
        <v>3</v>
      </c>
      <c r="L44" s="2" t="s">
        <v>19</v>
      </c>
      <c r="M44" s="10" t="s">
        <v>131</v>
      </c>
    </row>
    <row r="45" customFormat="false" ht="14.5" hidden="false" customHeight="false" outlineLevel="0" collapsed="false">
      <c r="A45" s="2" t="n">
        <v>44</v>
      </c>
      <c r="B45" s="3" t="s">
        <v>135</v>
      </c>
      <c r="C45" s="3" t="s">
        <v>140</v>
      </c>
      <c r="D45" s="3" t="s">
        <v>141</v>
      </c>
      <c r="E45" s="3" t="s">
        <v>142</v>
      </c>
      <c r="F45" s="3" t="s">
        <v>143</v>
      </c>
      <c r="G45" s="4" t="n">
        <v>45</v>
      </c>
      <c r="H45" s="4" t="n">
        <v>0</v>
      </c>
      <c r="I45" s="4" t="n">
        <v>45</v>
      </c>
      <c r="J45" s="5" t="n">
        <f aca="false">IF(G45&gt;0,H45/G45,0)</f>
        <v>0</v>
      </c>
      <c r="K45" s="6" t="n">
        <v>3</v>
      </c>
      <c r="L45" s="2" t="s">
        <v>19</v>
      </c>
      <c r="M45" s="8" t="s">
        <v>25</v>
      </c>
    </row>
    <row r="46" customFormat="false" ht="14.5" hidden="false" customHeight="false" outlineLevel="0" collapsed="false">
      <c r="A46" s="2" t="n">
        <v>45</v>
      </c>
      <c r="B46" s="3" t="s">
        <v>135</v>
      </c>
      <c r="C46" s="3" t="s">
        <v>144</v>
      </c>
      <c r="D46" s="3" t="s">
        <v>145</v>
      </c>
      <c r="E46" s="3" t="s">
        <v>146</v>
      </c>
      <c r="F46" s="3" t="s">
        <v>14</v>
      </c>
      <c r="G46" s="4" t="n">
        <v>30</v>
      </c>
      <c r="H46" s="4" t="n">
        <v>0</v>
      </c>
      <c r="I46" s="4" t="n">
        <v>30</v>
      </c>
      <c r="J46" s="5" t="n">
        <f aca="false">IF(G46&gt;0,H46/G46,0)</f>
        <v>0</v>
      </c>
      <c r="K46" s="6" t="n">
        <v>3</v>
      </c>
      <c r="L46" s="2" t="s">
        <v>19</v>
      </c>
      <c r="M46" s="7" t="s">
        <v>20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671875" defaultRowHeight="14.5" zeroHeight="false" outlineLevelRow="0" outlineLevelCol="0"/>
  <cols>
    <col collapsed="false" customWidth="true" hidden="false" outlineLevel="0" max="5" min="1" style="0" width="18"/>
  </cols>
  <sheetData>
    <row r="1" customFormat="false" ht="14.5" hidden="false" customHeight="false" outlineLevel="0" collapsed="false">
      <c r="A1" s="1" t="s">
        <v>147</v>
      </c>
      <c r="B1" s="1" t="s">
        <v>7</v>
      </c>
      <c r="C1" s="1" t="s">
        <v>8</v>
      </c>
      <c r="D1" s="1" t="s">
        <v>9</v>
      </c>
      <c r="E1" s="1" t="s">
        <v>148</v>
      </c>
    </row>
    <row r="2" customFormat="false" ht="15.5" hidden="false" customHeight="false" outlineLevel="0" collapsed="false">
      <c r="A2" s="11" t="n">
        <f aca="false">SUM(Liste_des_taches!G2:G46)</f>
        <v>1810</v>
      </c>
      <c r="B2" s="11" t="n">
        <f aca="false">SUM(Liste_des_taches!H2:H46)</f>
        <v>0</v>
      </c>
      <c r="C2" s="11" t="n">
        <f aca="false">SUM(Liste_des_taches!I2:I46)</f>
        <v>1810</v>
      </c>
      <c r="D2" s="12" t="n">
        <f aca="false">IF(A2&gt;0,B2/A2,0)</f>
        <v>0</v>
      </c>
      <c r="E2" s="13" t="n">
        <f aca="false">A2/60</f>
        <v>30.1666666666667</v>
      </c>
    </row>
    <row r="4" customFormat="false" ht="14.5" hidden="false" customHeight="false" outlineLevel="0" collapsed="false">
      <c r="A4" s="14" t="s">
        <v>149</v>
      </c>
      <c r="B4" s="15" t="n">
        <f aca="false">IF(B2&gt;A2,(B2-A2)/A2,0)</f>
        <v>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671875" defaultRowHeight="14.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2"/>
  </cols>
  <sheetData>
    <row r="1" customFormat="false" ht="14.5" hidden="false" customHeight="false" outlineLevel="0" collapsed="false">
      <c r="A1" s="1" t="s">
        <v>0</v>
      </c>
      <c r="B1" s="1" t="s">
        <v>150</v>
      </c>
      <c r="C1" s="1" t="s">
        <v>151</v>
      </c>
      <c r="D1" s="1" t="s">
        <v>152</v>
      </c>
    </row>
    <row r="2" customFormat="false" ht="14.5" hidden="false" customHeight="false" outlineLevel="0" collapsed="false">
      <c r="A2" s="2" t="n">
        <v>1</v>
      </c>
      <c r="B2" s="2" t="n">
        <v>0</v>
      </c>
      <c r="C2" s="2" t="n">
        <v>0</v>
      </c>
      <c r="D2" s="2" t="n">
        <v>0</v>
      </c>
    </row>
    <row r="3" customFormat="false" ht="14.5" hidden="false" customHeight="false" outlineLevel="0" collapsed="false">
      <c r="A3" s="2" t="n">
        <v>2</v>
      </c>
      <c r="B3" s="2" t="n">
        <v>0</v>
      </c>
      <c r="C3" s="2" t="n">
        <v>0</v>
      </c>
      <c r="D3" s="2" t="n">
        <v>0</v>
      </c>
    </row>
    <row r="4" customFormat="false" ht="14.5" hidden="false" customHeight="false" outlineLevel="0" collapsed="false">
      <c r="A4" s="2" t="n">
        <v>3</v>
      </c>
      <c r="B4" s="2" t="n">
        <v>0</v>
      </c>
      <c r="C4" s="2" t="n">
        <v>0</v>
      </c>
      <c r="D4" s="2" t="n">
        <v>0</v>
      </c>
    </row>
    <row r="5" customFormat="false" ht="14.5" hidden="false" customHeight="false" outlineLevel="0" collapsed="false">
      <c r="A5" s="2" t="n">
        <v>4</v>
      </c>
      <c r="B5" s="2" t="n">
        <v>0</v>
      </c>
      <c r="C5" s="2" t="n">
        <v>0</v>
      </c>
      <c r="D5" s="2" t="n">
        <v>0</v>
      </c>
    </row>
    <row r="6" customFormat="false" ht="14.5" hidden="false" customHeight="false" outlineLevel="0" collapsed="false">
      <c r="A6" s="2" t="n">
        <v>5</v>
      </c>
      <c r="B6" s="2" t="n">
        <v>0</v>
      </c>
      <c r="C6" s="2" t="n">
        <v>0</v>
      </c>
      <c r="D6" s="2" t="n">
        <v>0</v>
      </c>
    </row>
    <row r="7" customFormat="false" ht="14.5" hidden="false" customHeight="false" outlineLevel="0" collapsed="false">
      <c r="A7" s="2" t="n">
        <v>6</v>
      </c>
      <c r="B7" s="2" t="n">
        <v>0</v>
      </c>
      <c r="C7" s="2" t="n">
        <v>0</v>
      </c>
      <c r="D7" s="2" t="n">
        <v>0</v>
      </c>
    </row>
    <row r="8" customFormat="false" ht="14.5" hidden="false" customHeight="false" outlineLevel="0" collapsed="false">
      <c r="A8" s="2" t="n">
        <v>7</v>
      </c>
      <c r="B8" s="2" t="n">
        <v>0</v>
      </c>
      <c r="C8" s="2" t="n">
        <v>0</v>
      </c>
      <c r="D8" s="2" t="n">
        <v>0</v>
      </c>
    </row>
    <row r="9" customFormat="false" ht="14.5" hidden="false" customHeight="false" outlineLevel="0" collapsed="false">
      <c r="A9" s="2" t="n">
        <v>8</v>
      </c>
      <c r="B9" s="2" t="n">
        <v>0</v>
      </c>
      <c r="C9" s="2" t="n">
        <v>0</v>
      </c>
      <c r="D9" s="2" t="n">
        <v>0</v>
      </c>
    </row>
    <row r="10" customFormat="false" ht="14.5" hidden="false" customHeight="false" outlineLevel="0" collapsed="false">
      <c r="A10" s="2" t="n">
        <v>9</v>
      </c>
      <c r="B10" s="2" t="n">
        <v>0</v>
      </c>
      <c r="C10" s="2" t="n">
        <v>0</v>
      </c>
      <c r="D10" s="2" t="n">
        <v>0</v>
      </c>
    </row>
    <row r="11" customFormat="false" ht="14.5" hidden="false" customHeight="false" outlineLevel="0" collapsed="false">
      <c r="A11" s="2" t="n">
        <v>10</v>
      </c>
      <c r="B11" s="2" t="n">
        <v>0</v>
      </c>
      <c r="C11" s="2" t="n">
        <v>0</v>
      </c>
      <c r="D11" s="2" t="n">
        <v>0</v>
      </c>
    </row>
    <row r="12" customFormat="false" ht="14.5" hidden="false" customHeight="false" outlineLevel="0" collapsed="false">
      <c r="A12" s="2" t="n">
        <v>11</v>
      </c>
      <c r="B12" s="2" t="n">
        <v>0</v>
      </c>
      <c r="C12" s="2" t="n">
        <v>0</v>
      </c>
      <c r="D12" s="2" t="n">
        <v>0</v>
      </c>
    </row>
    <row r="13" customFormat="false" ht="14.5" hidden="false" customHeight="false" outlineLevel="0" collapsed="false">
      <c r="A13" s="2" t="n">
        <v>12</v>
      </c>
      <c r="B13" s="2" t="n">
        <v>0</v>
      </c>
      <c r="C13" s="2" t="n">
        <v>0</v>
      </c>
      <c r="D13" s="2" t="n">
        <v>0</v>
      </c>
    </row>
    <row r="14" customFormat="false" ht="14.5" hidden="false" customHeight="false" outlineLevel="0" collapsed="false">
      <c r="A14" s="2" t="n">
        <v>13</v>
      </c>
      <c r="B14" s="2" t="n">
        <v>0</v>
      </c>
      <c r="C14" s="2" t="n">
        <v>0</v>
      </c>
      <c r="D14" s="2" t="n">
        <v>0</v>
      </c>
    </row>
    <row r="15" customFormat="false" ht="14.5" hidden="false" customHeight="false" outlineLevel="0" collapsed="false">
      <c r="A15" s="2" t="n">
        <v>14</v>
      </c>
      <c r="B15" s="2" t="n">
        <v>0</v>
      </c>
      <c r="C15" s="2" t="n">
        <v>0</v>
      </c>
      <c r="D15" s="2" t="n">
        <v>0</v>
      </c>
    </row>
    <row r="16" customFormat="false" ht="14.5" hidden="false" customHeight="false" outlineLevel="0" collapsed="false">
      <c r="A16" s="2" t="n">
        <v>15</v>
      </c>
      <c r="B16" s="2" t="n">
        <v>0</v>
      </c>
      <c r="C16" s="2" t="n">
        <v>0</v>
      </c>
      <c r="D16" s="2" t="n">
        <v>0</v>
      </c>
    </row>
    <row r="17" customFormat="false" ht="14.5" hidden="false" customHeight="false" outlineLevel="0" collapsed="false">
      <c r="A17" s="2" t="n">
        <v>16</v>
      </c>
      <c r="B17" s="2" t="n">
        <v>0</v>
      </c>
      <c r="C17" s="2" t="n">
        <v>0</v>
      </c>
      <c r="D17" s="2" t="n">
        <v>0</v>
      </c>
    </row>
    <row r="18" customFormat="false" ht="14.5" hidden="false" customHeight="false" outlineLevel="0" collapsed="false">
      <c r="A18" s="2" t="n">
        <v>17</v>
      </c>
      <c r="B18" s="2" t="n">
        <v>0</v>
      </c>
      <c r="C18" s="2" t="n">
        <v>0</v>
      </c>
      <c r="D18" s="2" t="n">
        <v>0</v>
      </c>
    </row>
    <row r="19" customFormat="false" ht="14.5" hidden="false" customHeight="false" outlineLevel="0" collapsed="false">
      <c r="A19" s="2" t="n">
        <v>18</v>
      </c>
      <c r="B19" s="2" t="n">
        <v>0</v>
      </c>
      <c r="C19" s="2" t="n">
        <v>0</v>
      </c>
      <c r="D19" s="2" t="n">
        <v>0</v>
      </c>
    </row>
    <row r="20" customFormat="false" ht="14.5" hidden="false" customHeight="false" outlineLevel="0" collapsed="false">
      <c r="A20" s="2" t="n">
        <v>19</v>
      </c>
      <c r="B20" s="2" t="n">
        <v>0</v>
      </c>
      <c r="C20" s="2" t="n">
        <v>0</v>
      </c>
      <c r="D20" s="2" t="n">
        <v>0</v>
      </c>
    </row>
    <row r="21" customFormat="false" ht="14.5" hidden="false" customHeight="false" outlineLevel="0" collapsed="false">
      <c r="A21" s="2" t="n">
        <v>20</v>
      </c>
      <c r="B21" s="2" t="n">
        <v>0</v>
      </c>
      <c r="C21" s="2" t="n">
        <v>0</v>
      </c>
      <c r="D21" s="2" t="n">
        <v>0</v>
      </c>
    </row>
    <row r="22" customFormat="false" ht="14.5" hidden="false" customHeight="false" outlineLevel="0" collapsed="false">
      <c r="A22" s="2" t="n">
        <v>21</v>
      </c>
      <c r="B22" s="2" t="n">
        <v>0</v>
      </c>
      <c r="C22" s="2" t="n">
        <v>0</v>
      </c>
      <c r="D22" s="2" t="n">
        <v>0</v>
      </c>
    </row>
    <row r="23" customFormat="false" ht="14.5" hidden="false" customHeight="false" outlineLevel="0" collapsed="false">
      <c r="A23" s="2" t="n">
        <v>22</v>
      </c>
      <c r="B23" s="2" t="n">
        <v>0</v>
      </c>
      <c r="C23" s="2" t="n">
        <v>0</v>
      </c>
      <c r="D23" s="2" t="n">
        <v>0</v>
      </c>
    </row>
    <row r="24" customFormat="false" ht="14.5" hidden="false" customHeight="false" outlineLevel="0" collapsed="false">
      <c r="A24" s="2" t="n">
        <v>23</v>
      </c>
      <c r="B24" s="2" t="n">
        <v>0</v>
      </c>
      <c r="C24" s="2" t="n">
        <v>0</v>
      </c>
      <c r="D24" s="2" t="n">
        <v>0</v>
      </c>
    </row>
    <row r="25" customFormat="false" ht="14.5" hidden="false" customHeight="false" outlineLevel="0" collapsed="false">
      <c r="A25" s="2" t="n">
        <v>24</v>
      </c>
      <c r="B25" s="2" t="n">
        <v>0</v>
      </c>
      <c r="C25" s="2" t="n">
        <v>0</v>
      </c>
      <c r="D25" s="2" t="n">
        <v>0</v>
      </c>
    </row>
    <row r="26" customFormat="false" ht="14.5" hidden="false" customHeight="false" outlineLevel="0" collapsed="false">
      <c r="A26" s="2" t="n">
        <v>25</v>
      </c>
      <c r="B26" s="2" t="n">
        <v>0</v>
      </c>
      <c r="C26" s="2" t="n">
        <v>0</v>
      </c>
      <c r="D26" s="2" t="n">
        <v>0</v>
      </c>
    </row>
    <row r="27" customFormat="false" ht="14.5" hidden="false" customHeight="false" outlineLevel="0" collapsed="false">
      <c r="A27" s="2" t="n">
        <v>26</v>
      </c>
      <c r="B27" s="2" t="n">
        <v>0</v>
      </c>
      <c r="C27" s="2" t="n">
        <v>0</v>
      </c>
      <c r="D27" s="2" t="n">
        <v>0</v>
      </c>
    </row>
    <row r="28" customFormat="false" ht="14.5" hidden="false" customHeight="false" outlineLevel="0" collapsed="false">
      <c r="A28" s="2" t="n">
        <v>27</v>
      </c>
      <c r="B28" s="2" t="n">
        <v>0</v>
      </c>
      <c r="C28" s="2" t="n">
        <v>0</v>
      </c>
      <c r="D28" s="2" t="n">
        <v>0</v>
      </c>
    </row>
    <row r="29" customFormat="false" ht="14.5" hidden="false" customHeight="false" outlineLevel="0" collapsed="false">
      <c r="A29" s="2" t="n">
        <v>28</v>
      </c>
      <c r="B29" s="2" t="n">
        <v>0</v>
      </c>
      <c r="C29" s="2" t="n">
        <v>0</v>
      </c>
      <c r="D29" s="2" t="n">
        <v>0</v>
      </c>
    </row>
    <row r="30" customFormat="false" ht="14.5" hidden="false" customHeight="false" outlineLevel="0" collapsed="false">
      <c r="A30" s="2" t="n">
        <v>29</v>
      </c>
      <c r="B30" s="2" t="n">
        <v>0</v>
      </c>
      <c r="C30" s="2" t="n">
        <v>0</v>
      </c>
      <c r="D30" s="2" t="n">
        <v>0</v>
      </c>
    </row>
    <row r="31" customFormat="false" ht="14.5" hidden="false" customHeight="false" outlineLevel="0" collapsed="false">
      <c r="A31" s="2" t="n">
        <v>30</v>
      </c>
      <c r="B31" s="2" t="n">
        <v>0</v>
      </c>
      <c r="C31" s="2" t="n">
        <v>0</v>
      </c>
      <c r="D31" s="2" t="n">
        <v>0</v>
      </c>
    </row>
    <row r="32" customFormat="false" ht="14.5" hidden="false" customHeight="false" outlineLevel="0" collapsed="false">
      <c r="A32" s="2" t="n">
        <v>31</v>
      </c>
      <c r="B32" s="2" t="n">
        <v>0</v>
      </c>
      <c r="C32" s="2" t="n">
        <v>0</v>
      </c>
      <c r="D32" s="2" t="n">
        <v>0</v>
      </c>
    </row>
    <row r="33" customFormat="false" ht="14.5" hidden="false" customHeight="false" outlineLevel="0" collapsed="false">
      <c r="A33" s="2" t="n">
        <v>32</v>
      </c>
      <c r="B33" s="2" t="n">
        <v>0</v>
      </c>
      <c r="C33" s="2" t="n">
        <v>0</v>
      </c>
      <c r="D33" s="2" t="n">
        <v>0</v>
      </c>
    </row>
    <row r="34" customFormat="false" ht="14.5" hidden="false" customHeight="false" outlineLevel="0" collapsed="false">
      <c r="A34" s="2" t="n">
        <v>33</v>
      </c>
      <c r="B34" s="2" t="n">
        <v>0</v>
      </c>
      <c r="C34" s="2" t="n">
        <v>0</v>
      </c>
      <c r="D34" s="2" t="n">
        <v>0</v>
      </c>
    </row>
    <row r="35" customFormat="false" ht="14.5" hidden="false" customHeight="false" outlineLevel="0" collapsed="false">
      <c r="A35" s="2" t="n">
        <v>34</v>
      </c>
      <c r="B35" s="2" t="n">
        <v>0</v>
      </c>
      <c r="C35" s="2" t="n">
        <v>0</v>
      </c>
      <c r="D35" s="2" t="n">
        <v>0</v>
      </c>
    </row>
    <row r="36" customFormat="false" ht="14.5" hidden="false" customHeight="false" outlineLevel="0" collapsed="false">
      <c r="A36" s="2" t="n">
        <v>35</v>
      </c>
      <c r="B36" s="2" t="n">
        <v>0</v>
      </c>
      <c r="C36" s="2" t="n">
        <v>0</v>
      </c>
      <c r="D36" s="2" t="n">
        <v>0</v>
      </c>
    </row>
    <row r="37" customFormat="false" ht="14.5" hidden="false" customHeight="false" outlineLevel="0" collapsed="false">
      <c r="A37" s="2" t="n">
        <v>36</v>
      </c>
      <c r="B37" s="2" t="n">
        <v>0</v>
      </c>
      <c r="C37" s="2" t="n">
        <v>0</v>
      </c>
      <c r="D37" s="2" t="n">
        <v>0</v>
      </c>
    </row>
    <row r="38" customFormat="false" ht="14.5" hidden="false" customHeight="false" outlineLevel="0" collapsed="false">
      <c r="A38" s="2" t="n">
        <v>37</v>
      </c>
      <c r="B38" s="2" t="n">
        <v>0</v>
      </c>
      <c r="C38" s="2" t="n">
        <v>0</v>
      </c>
      <c r="D38" s="2" t="n">
        <v>0</v>
      </c>
    </row>
    <row r="39" customFormat="false" ht="14.5" hidden="false" customHeight="false" outlineLevel="0" collapsed="false">
      <c r="A39" s="2" t="n">
        <v>38</v>
      </c>
      <c r="B39" s="2" t="n">
        <v>0</v>
      </c>
      <c r="C39" s="2" t="n">
        <v>0</v>
      </c>
      <c r="D39" s="2" t="n">
        <v>0</v>
      </c>
    </row>
    <row r="40" customFormat="false" ht="14.5" hidden="false" customHeight="false" outlineLevel="0" collapsed="false">
      <c r="A40" s="2" t="n">
        <v>39</v>
      </c>
      <c r="B40" s="2" t="n">
        <v>0</v>
      </c>
      <c r="C40" s="2" t="n">
        <v>0</v>
      </c>
      <c r="D40" s="2" t="n">
        <v>0</v>
      </c>
    </row>
    <row r="41" customFormat="false" ht="14.5" hidden="false" customHeight="false" outlineLevel="0" collapsed="false">
      <c r="A41" s="2" t="n">
        <v>40</v>
      </c>
      <c r="B41" s="2" t="n">
        <v>0</v>
      </c>
      <c r="C41" s="2" t="n">
        <v>0</v>
      </c>
      <c r="D41" s="2" t="n">
        <v>0</v>
      </c>
    </row>
    <row r="42" customFormat="false" ht="14.5" hidden="false" customHeight="false" outlineLevel="0" collapsed="false">
      <c r="A42" s="2" t="n">
        <v>41</v>
      </c>
      <c r="B42" s="2" t="n">
        <v>0</v>
      </c>
      <c r="C42" s="2" t="n">
        <v>0</v>
      </c>
      <c r="D42" s="2" t="n">
        <v>0</v>
      </c>
    </row>
    <row r="43" customFormat="false" ht="14.5" hidden="false" customHeight="false" outlineLevel="0" collapsed="false">
      <c r="A43" s="2" t="n">
        <v>42</v>
      </c>
      <c r="B43" s="2" t="n">
        <v>0</v>
      </c>
      <c r="C43" s="2" t="n">
        <v>0</v>
      </c>
      <c r="D43" s="2" t="n">
        <v>0</v>
      </c>
    </row>
    <row r="44" customFormat="false" ht="14.5" hidden="false" customHeight="false" outlineLevel="0" collapsed="false">
      <c r="A44" s="2" t="n">
        <v>43</v>
      </c>
      <c r="B44" s="2" t="n">
        <v>0</v>
      </c>
      <c r="C44" s="2" t="n">
        <v>0</v>
      </c>
      <c r="D44" s="2" t="n">
        <v>0</v>
      </c>
    </row>
    <row r="45" customFormat="false" ht="14.5" hidden="false" customHeight="false" outlineLevel="0" collapsed="false">
      <c r="A45" s="2" t="n">
        <v>44</v>
      </c>
      <c r="B45" s="2" t="n">
        <v>0</v>
      </c>
      <c r="C45" s="2" t="n">
        <v>0</v>
      </c>
      <c r="D45" s="2" t="n">
        <v>0</v>
      </c>
    </row>
    <row r="46" customFormat="false" ht="14.5" hidden="false" customHeight="false" outlineLevel="0" collapsed="false">
      <c r="A46" s="2" t="n">
        <v>45</v>
      </c>
      <c r="B46" s="2" t="n">
        <v>0</v>
      </c>
      <c r="C46" s="2" t="n">
        <v>0</v>
      </c>
      <c r="D46" s="2" t="n">
        <v>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3671875" defaultRowHeight="14.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</cols>
  <sheetData>
    <row r="1" customFormat="false" ht="14.5" hidden="false" customHeight="false" outlineLevel="0" collapsed="false">
      <c r="A1" s="1" t="s">
        <v>9</v>
      </c>
      <c r="B1" s="1" t="s">
        <v>153</v>
      </c>
    </row>
    <row r="2" customFormat="false" ht="14.5" hidden="false" customHeight="false" outlineLevel="0" collapsed="false">
      <c r="A2" s="2" t="s">
        <v>9</v>
      </c>
      <c r="B2" s="15" t="n">
        <f aca="false">Avancement_projet!D2</f>
        <v>0</v>
      </c>
    </row>
    <row r="3" customFormat="false" ht="14.5" hidden="false" customHeight="false" outlineLevel="0" collapsed="false">
      <c r="A3" s="2"/>
      <c r="B3" s="2"/>
    </row>
    <row r="4" customFormat="false" ht="14.5" hidden="false" customHeight="false" outlineLevel="0" collapsed="false">
      <c r="A4" s="16" t="s">
        <v>10</v>
      </c>
      <c r="B4" s="16" t="s">
        <v>154</v>
      </c>
    </row>
    <row r="5" customFormat="false" ht="14.5" hidden="false" customHeight="false" outlineLevel="0" collapsed="false">
      <c r="A5" s="2" t="s">
        <v>155</v>
      </c>
      <c r="B5" s="2" t="n">
        <f aca="false">SUMIF(Liste_des_taches!K:K,"RAKOTO",Liste_des_taches!G:G)</f>
        <v>135</v>
      </c>
    </row>
    <row r="6" customFormat="false" ht="14.5" hidden="false" customHeight="false" outlineLevel="0" collapsed="false">
      <c r="A6" s="2" t="s">
        <v>156</v>
      </c>
      <c r="B6" s="2" t="n">
        <f aca="false">SUMIF(Liste_des_taches!K:K,"RASOA",Liste_des_taches!G:G)</f>
        <v>80</v>
      </c>
    </row>
    <row r="7" customFormat="false" ht="14.5" hidden="false" customHeight="false" outlineLevel="0" collapsed="false">
      <c r="A7" s="17" t="s">
        <v>157</v>
      </c>
      <c r="B7" s="17" t="n">
        <v>100</v>
      </c>
    </row>
    <row r="8" customFormat="false" ht="14.5" hidden="false" customHeight="false" outlineLevel="0" collapsed="false">
      <c r="A8" s="18" t="s">
        <v>150</v>
      </c>
      <c r="B8" s="0" t="n">
        <f aca="false">SUM(B5:B7)</f>
        <v>315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2026-02-16T10:35:13Z</dcterms:created>
  <dc:creator>openpyxl</dc:creator>
  <dc:description/>
  <dc:language>en-US</dc:language>
  <cp:lastModifiedBy/>
  <dcterms:modified xsi:type="dcterms:W3CDTF">2026-02-16T13:58:51Z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